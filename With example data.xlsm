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imot\OneDrive\Documents\School\2026 Spring\Decision Support Systems for Operations\Project\"/>
    </mc:Choice>
  </mc:AlternateContent>
  <xr:revisionPtr revIDLastSave="0" documentId="13_ncr:1_{ECADB4D7-3BAC-402E-B714-360FC31167C7}" xr6:coauthVersionLast="47" xr6:coauthVersionMax="47" xr10:uidLastSave="{00000000-0000-0000-0000-000000000000}"/>
  <bookViews>
    <workbookView xWindow="-110" yWindow="-110" windowWidth="19420" windowHeight="10300" xr2:uid="{0110E893-91FF-4EFB-B2C2-2E5F5F153687}"/>
  </bookViews>
  <sheets>
    <sheet name="Home" sheetId="4" r:id="rId1"/>
    <sheet name="Amount Given Away" sheetId="5" state="hidden" r:id="rId2"/>
    <sheet name="Amount at End of Month" sheetId="8" state="hidden" r:id="rId3"/>
    <sheet name="Recomendation" sheetId="3" state="hidden" r:id="rId4"/>
    <sheet name="Expected Demand History" sheetId="7" state="hidden" r:id="rId5"/>
    <sheet name="References" sheetId="10" state="hidden" r:id="rId6"/>
  </sheets>
  <definedNames>
    <definedName name="Check">#REF!</definedName>
    <definedName name="data0">'Amount Given Away'!$B$5</definedName>
    <definedName name="EOM">'Amount at End of Month'!$B$5</definedName>
    <definedName name="index">#REF!</definedName>
    <definedName name="mean">#REF!</definedName>
    <definedName name="month1">'Amount Given Away'!$C$5</definedName>
    <definedName name="monthTest">#REF!</definedName>
    <definedName name="Period">#REF!</definedName>
    <definedName name="Point1">#REF!</definedName>
    <definedName name="pred0">'Expected Demand History'!$B$5</definedName>
    <definedName name="Previous">#REF!</definedName>
    <definedName name="rec0">Recomendation!$B$3</definedName>
    <definedName name="stddev">#REF!</definedName>
    <definedName name="TestCell">#REF!</definedName>
    <definedName name="Wiegh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" i="7" l="1"/>
  <c r="O6" i="7"/>
  <c r="K6" i="7"/>
  <c r="J9" i="7"/>
  <c r="N8" i="7"/>
  <c r="J8" i="7"/>
  <c r="J7" i="7"/>
  <c r="J6" i="7"/>
  <c r="I7" i="7"/>
  <c r="M6" i="7"/>
  <c r="L9" i="7"/>
  <c r="L8" i="7"/>
  <c r="L7" i="7"/>
  <c r="H7" i="7"/>
  <c r="H6" i="7"/>
  <c r="O9" i="7"/>
  <c r="G8" i="7"/>
  <c r="O8" i="7"/>
  <c r="G7" i="7"/>
  <c r="N9" i="7"/>
  <c r="N7" i="7"/>
  <c r="N6" i="7"/>
  <c r="M9" i="7"/>
  <c r="I9" i="7"/>
  <c r="I8" i="7"/>
  <c r="M7" i="7"/>
  <c r="I6" i="7"/>
  <c r="H9" i="7"/>
  <c r="H8" i="7"/>
  <c r="L6" i="7"/>
  <c r="K9" i="7"/>
  <c r="K8" i="7"/>
  <c r="K7" i="7"/>
  <c r="G6" i="7"/>
  <c r="M8" i="7"/>
  <c r="F8" i="7"/>
  <c r="F7" i="7"/>
  <c r="D8" i="7"/>
  <c r="F6" i="7"/>
  <c r="E8" i="7"/>
  <c r="E7" i="7"/>
  <c r="E6" i="7"/>
  <c r="D7" i="7"/>
  <c r="D6" i="7"/>
</calcChain>
</file>

<file path=xl/sharedStrings.xml><?xml version="1.0" encoding="utf-8"?>
<sst xmlns="http://schemas.openxmlformats.org/spreadsheetml/2006/main" count="27" uniqueCount="15">
  <si>
    <t>Products\Month</t>
  </si>
  <si>
    <t>Recommendations</t>
  </si>
  <si>
    <t>Date</t>
  </si>
  <si>
    <t>The Values listed here do not account for inventory</t>
  </si>
  <si>
    <t>Which history would you like to view?</t>
  </si>
  <si>
    <t>History Options</t>
  </si>
  <si>
    <t>Inventory</t>
  </si>
  <si>
    <t>Amount Given Away</t>
  </si>
  <si>
    <t>Expected Demand History</t>
  </si>
  <si>
    <t>Beans</t>
  </si>
  <si>
    <t>Ammount\Month</t>
  </si>
  <si>
    <t>Corn</t>
  </si>
  <si>
    <t>Ammount left\ month</t>
  </si>
  <si>
    <t>Macaroni</t>
  </si>
  <si>
    <t>Lettuce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</si>
</sst>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\-yy;@"/>
    <numFmt numFmtId="165" formatCode="mmm\ yyyy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rgb="FFFBE2D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3" borderId="0" xfId="0" applyFill="1"/>
    <xf numFmtId="17" fontId="0" fillId="3" borderId="0" xfId="0" applyNumberFormat="1" applyFill="1"/>
    <xf numFmtId="0" fontId="0" fillId="4" borderId="0" xfId="0" applyFill="1"/>
    <xf numFmtId="0" fontId="0" fillId="2" borderId="1" xfId="0" applyFill="1" applyBorder="1"/>
    <xf numFmtId="17" fontId="0" fillId="2" borderId="1" xfId="0" applyNumberFormat="1" applyFill="1" applyBorder="1"/>
    <xf numFmtId="0" fontId="0" fillId="4" borderId="0" xfId="0" applyFill="1" applyAlignment="1">
      <alignment vertical="top" wrapText="1"/>
    </xf>
    <xf numFmtId="165" fontId="0" fillId="4" borderId="0" xfId="0" applyNumberFormat="1" applyFill="1"/>
    <xf numFmtId="0" fontId="0" fillId="5" borderId="0" xfId="0" applyFill="1"/>
    <xf numFmtId="164" fontId="0" fillId="5" borderId="0" xfId="0" applyNumberFormat="1" applyFill="1"/>
    <xf numFmtId="17" fontId="0" fillId="5" borderId="0" xfId="0" applyNumberFormat="1" applyFill="1"/>
    <xf numFmtId="0" fontId="0" fillId="6" borderId="1" xfId="0" applyFill="1" applyBorder="1"/>
    <xf numFmtId="0" fontId="0" fillId="6" borderId="0" xfId="0" applyFill="1"/>
    <xf numFmtId="0" fontId="0" fillId="6" borderId="5" xfId="0" applyFill="1" applyBorder="1"/>
    <xf numFmtId="0" fontId="0" fillId="6" borderId="6" xfId="0" applyFill="1" applyBorder="1"/>
    <xf numFmtId="0" fontId="0" fillId="7" borderId="0" xfId="0" applyFill="1" applyAlignment="1">
      <alignment vertical="top" wrapText="1"/>
    </xf>
    <xf numFmtId="0" fontId="2" fillId="4" borderId="0" xfId="0" applyFont="1" applyFill="1" applyAlignment="1">
      <alignment horizontal="center"/>
    </xf>
    <xf numFmtId="0" fontId="0" fillId="7" borderId="0" xfId="0" applyFill="1" applyAlignment="1">
      <alignment horizontal="center" vertical="top" wrapText="1"/>
    </xf>
    <xf numFmtId="0" fontId="0" fillId="8" borderId="0" xfId="0" applyFill="1" applyAlignment="1">
      <alignment horizontal="center" vertical="top" wrapText="1"/>
    </xf>
    <xf numFmtId="0" fontId="0" fillId="2" borderId="1" xfId="0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BE2D5"/>
      <color rgb="FF83CC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304800</xdr:colOff>
          <xdr:row>5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304800</xdr:colOff>
          <xdr:row>5</xdr:row>
          <xdr:rowOff>88900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End of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158750</xdr:colOff>
          <xdr:row>12</xdr:row>
          <xdr:rowOff>50800</xdr:rowOff>
        </xdr:from>
        <xdr:to>
          <xdr:col>5</xdr:col>
          <xdr:colOff>463550</xdr:colOff>
          <xdr:row>14</xdr:row>
          <xdr:rowOff>139700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12</xdr:row>
          <xdr:rowOff>69850</xdr:rowOff>
        </xdr:from>
        <xdr:to>
          <xdr:col>4</xdr:col>
          <xdr:colOff>0</xdr:colOff>
          <xdr:row>13</xdr:row>
          <xdr:rowOff>158750</xdr:rowOff>
        </xdr:to>
        <xdr:sp macro="" textlink="">
          <xdr:nvSpPr>
            <xdr:cNvPr id="4107" name="histSelec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15</xdr:row>
          <xdr:rowOff>50800</xdr:rowOff>
        </xdr:from>
        <xdr:to>
          <xdr:col>3</xdr:col>
          <xdr:colOff>177800</xdr:colOff>
          <xdr:row>17</xdr:row>
          <xdr:rowOff>38100</xdr:rowOff>
        </xdr:to>
        <xdr:sp macro="" textlink="">
          <xdr:nvSpPr>
            <xdr:cNvPr id="4111" name="DevMode" descr="Dev Mode O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336550</xdr:colOff>
          <xdr:row>15</xdr:row>
          <xdr:rowOff>44450</xdr:rowOff>
        </xdr:from>
        <xdr:to>
          <xdr:col>5</xdr:col>
          <xdr:colOff>469900</xdr:colOff>
          <xdr:row>17</xdr:row>
          <xdr:rowOff>31750</xdr:rowOff>
        </xdr:to>
        <xdr:sp macro="" textlink="">
          <xdr:nvSpPr>
            <xdr:cNvPr id="4113" name="DevModeOff" descr="Dev Mode O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4</xdr:row>
          <xdr:rowOff>12700</xdr:rowOff>
        </xdr:from>
        <xdr:to>
          <xdr:col>10</xdr:col>
          <xdr:colOff>6350</xdr:colOff>
          <xdr:row>5</xdr:row>
          <xdr:rowOff>177800</xdr:rowOff>
        </xdr:to>
        <xdr:sp macro="" textlink="">
          <xdr:nvSpPr>
            <xdr:cNvPr id="4114" name="setUp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0</xdr:rowOff>
        </xdr:from>
        <xdr:to>
          <xdr:col>2</xdr:col>
          <xdr:colOff>165100</xdr:colOff>
          <xdr:row>3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431800</xdr:colOff>
          <xdr:row>1</xdr:row>
          <xdr:rowOff>146050</xdr:rowOff>
        </xdr:from>
        <xdr:to>
          <xdr:col>6</xdr:col>
          <xdr:colOff>209550</xdr:colOff>
          <xdr:row>4</xdr:row>
          <xdr:rowOff>63500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1</xdr:row>
          <xdr:rowOff>19050</xdr:rowOff>
        </xdr:from>
        <xdr:to>
          <xdr:col>2</xdr:col>
          <xdr:colOff>596900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trlProp" Target="../ctrlProps/ctrlProp3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ctrlProp" Target="../ctrlProps/ctrlProp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trlProp" Target="../ctrlProps/ctrlProp1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6E1C-B43B-4DC5-82DF-539730D5A4F9}">
  <sheetPr codeName="Sheet4"/>
  <dimension ref="B2:J12"/>
  <sheetViews>
    <sheetView tabSelected="1" zoomScaleNormal="85" workbookViewId="0">
      <selection activeCell="C18" sqref="C18"/>
    </sheetView>
  </sheetViews>
  <sheetFormatPr defaultRowHeight="14.5" x14ac:dyDescent="0.35"/>
  <cols>
    <col min="1" max="8" width="8.7265625" style="3"/>
    <col min="9" max="9" width="10.90625" style="3" customWidth="1"/>
    <col min="10" max="16384" width="8.7265625" style="3"/>
  </cols>
  <sheetData>
    <row r="2" spans="2:10" x14ac:dyDescent="0.35">
      <c r="B2" s="7"/>
    </row>
    <row r="4" spans="2:10" ht="14.5" customHeight="1" x14ac:dyDescent="0.35">
      <c r="G4" s="15"/>
      <c r="H4" s="17"/>
      <c r="I4" s="18"/>
      <c r="J4" s="18"/>
    </row>
    <row r="5" spans="2:10" x14ac:dyDescent="0.35">
      <c r="G5" s="6"/>
      <c r="H5" s="6"/>
      <c r="I5" s="6"/>
    </row>
    <row r="6" spans="2:10" x14ac:dyDescent="0.35">
      <c r="G6" s="6"/>
      <c r="H6" s="6"/>
      <c r="I6" s="6"/>
    </row>
    <row r="7" spans="2:10" x14ac:dyDescent="0.35">
      <c r="G7" s="6"/>
      <c r="H7" s="6"/>
      <c r="I7" s="6"/>
    </row>
    <row r="8" spans="2:10" x14ac:dyDescent="0.35">
      <c r="G8" s="6"/>
      <c r="H8" s="6"/>
      <c r="I8" s="6"/>
    </row>
    <row r="9" spans="2:10" x14ac:dyDescent="0.35">
      <c r="G9" s="6"/>
      <c r="H9" s="6"/>
      <c r="I9" s="6"/>
    </row>
    <row r="10" spans="2:10" x14ac:dyDescent="0.35">
      <c r="G10" s="6"/>
      <c r="H10" s="6"/>
      <c r="I10" s="6"/>
    </row>
    <row r="12" spans="2:10" x14ac:dyDescent="0.35">
      <c r="B12" s="16" t="s">
        <v>4</v>
      </c>
      <c r="C12" s="16"/>
      <c r="D12" s="16"/>
    </row>
  </sheetData>
  <mergeCells count="2">
    <mergeCell ref="B12:D12"/>
    <mergeCell ref="H4:J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13" r:id="rId3" name="DevModeOff">
          <controlPr defaultSize="0" autoLine="0" altText="Dev Mode ON" r:id="rId4">
            <anchor moveWithCells="1">
              <from>
                <xdr:col>3</xdr:col>
                <xdr:colOff>336550</xdr:colOff>
                <xdr:row>15</xdr:row>
                <xdr:rowOff>44450</xdr:rowOff>
              </from>
              <to>
                <xdr:col>5</xdr:col>
                <xdr:colOff>469900</xdr:colOff>
                <xdr:row>17</xdr:row>
                <xdr:rowOff>31750</xdr:rowOff>
              </to>
            </anchor>
          </controlPr>
        </control>
      </mc:Choice>
      <mc:Fallback>
        <control shapeId="4113" r:id="rId3" name="DevModeOff"/>
      </mc:Fallback>
    </mc:AlternateContent>
    <mc:AlternateContent xmlns:mc="http://schemas.openxmlformats.org/markup-compatibility/2006">
      <mc:Choice Requires="x14">
        <control shapeId="4111" r:id="rId5" name="DevMode">
          <controlPr defaultSize="0" autoLine="0" altText="Dev Mode ON" r:id="rId6">
            <anchor moveWithCells="1">
              <from>
                <xdr:col>1</xdr:col>
                <xdr:colOff>31750</xdr:colOff>
                <xdr:row>15</xdr:row>
                <xdr:rowOff>50800</xdr:rowOff>
              </from>
              <to>
                <xdr:col>3</xdr:col>
                <xdr:colOff>177800</xdr:colOff>
                <xdr:row>17</xdr:row>
                <xdr:rowOff>38100</xdr:rowOff>
              </to>
            </anchor>
          </controlPr>
        </control>
      </mc:Choice>
      <mc:Fallback>
        <control shapeId="4111" r:id="rId5" name="DevMode"/>
      </mc:Fallback>
    </mc:AlternateContent>
    <mc:AlternateContent xmlns:mc="http://schemas.openxmlformats.org/markup-compatibility/2006">
      <mc:Choice Requires="x14">
        <control shapeId="4107" r:id="rId7" name="histSelect">
          <controlPr defaultSize="0" autoLine="0" listFillRange="References!B3:B5" r:id="rId8">
            <anchor moveWithCells="1">
              <from>
                <xdr:col>1</xdr:col>
                <xdr:colOff>6350</xdr:colOff>
                <xdr:row>12</xdr:row>
                <xdr:rowOff>69850</xdr:rowOff>
              </from>
              <to>
                <xdr:col>4</xdr:col>
                <xdr:colOff>0</xdr:colOff>
                <xdr:row>13</xdr:row>
                <xdr:rowOff>158750</xdr:rowOff>
              </to>
            </anchor>
          </controlPr>
        </control>
      </mc:Choice>
      <mc:Fallback>
        <control shapeId="4107" r:id="rId7" name="histSelect"/>
      </mc:Fallback>
    </mc:AlternateContent>
    <mc:AlternateContent xmlns:mc="http://schemas.openxmlformats.org/markup-compatibility/2006">
      <mc:Choice Requires="x14">
        <control shapeId="4114" r:id="rId9" name="setUp">
          <controlPr defaultSize="0" autoLine="0" autoPict="0" r:id="rId10">
            <anchor moveWithCells="1">
              <from>
                <xdr:col>7</xdr:col>
                <xdr:colOff>6350</xdr:colOff>
                <xdr:row>4</xdr:row>
                <xdr:rowOff>12700</xdr:rowOff>
              </from>
              <to>
                <xdr:col>10</xdr:col>
                <xdr:colOff>6350</xdr:colOff>
                <xdr:row>5</xdr:row>
                <xdr:rowOff>177800</xdr:rowOff>
              </to>
            </anchor>
          </controlPr>
        </control>
      </mc:Choice>
      <mc:Fallback>
        <control shapeId="4114" r:id="rId9" name="setUp"/>
      </mc:Fallback>
    </mc:AlternateContent>
    <mc:AlternateContent xmlns:mc="http://schemas.openxmlformats.org/markup-compatibility/2006">
      <mc:Choice Requires="x14">
        <control shapeId="4097" r:id="rId11" name="Button 1">
          <controlPr defaultSize="0" print="0" autoFill="0" autoPict="0" macro="[0]!newMonth">
            <anchor moveWithCells="1" siz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304800</xdr:colOff>
                <xdr:row>5</xdr:row>
                <xdr:rowOff>88900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9" r:id="rId12" name="Button 3">
          <controlPr defaultSize="0" print="0" autoFill="0" autoPict="0" macro="[0]!endOfMonth">
            <anchor moveWithCells="1" siz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304800</xdr:colOff>
                <xdr:row>5</xdr:row>
                <xdr:rowOff>88900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0" r:id="rId13" name="Button 4">
          <controlPr defaultSize="0" print="0" autoFill="0" autoPict="0" macro="[0]!histNav">
            <anchor moveWithCells="1" sizeWithCells="1">
              <from>
                <xdr:col>4</xdr:col>
                <xdr:colOff>158750</xdr:colOff>
                <xdr:row>12</xdr:row>
                <xdr:rowOff>50800</xdr:rowOff>
              </from>
              <to>
                <xdr:col>5</xdr:col>
                <xdr:colOff>463550</xdr:colOff>
                <xdr:row>14</xdr:row>
                <xdr:rowOff>139700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B6F0C-940B-4C32-AC7E-0A27E97803D2}">
  <sheetPr codeName="Sheet5"/>
  <dimension ref="B3:S9"/>
  <sheetViews>
    <sheetView workbookViewId="0">
      <selection activeCell="B1" sqref="B1"/>
    </sheetView>
  </sheetViews>
  <sheetFormatPr defaultRowHeight="14.5" x14ac:dyDescent="0.35"/>
  <cols>
    <col min="1" max="1" width="8.7265625" style="8"/>
    <col min="2" max="2" width="15.26953125" style="8" bestFit="1" customWidth="1"/>
    <col min="3" max="16384" width="8.7265625" style="8"/>
  </cols>
  <sheetData>
    <row r="3" spans="2:19" x14ac:dyDescent="0.35">
      <c r="F3" s="9"/>
    </row>
    <row r="5" spans="2:19" x14ac:dyDescent="0.35">
      <c r="B5" s="8" t="s">
        <v>10</v>
      </c>
      <c r="C5" s="10">
        <v>46113</v>
      </c>
      <c r="D5" s="10">
        <v>46143</v>
      </c>
      <c r="E5" s="10">
        <v>46174</v>
      </c>
      <c r="F5" s="10">
        <v>46204</v>
      </c>
      <c r="G5" s="10">
        <v>46235</v>
      </c>
      <c r="H5" s="10">
        <v>46266</v>
      </c>
      <c r="I5" s="10">
        <v>46296</v>
      </c>
      <c r="J5" s="10">
        <v>46327</v>
      </c>
      <c r="K5" s="10">
        <v>46357</v>
      </c>
      <c r="L5" s="10">
        <v>46388</v>
      </c>
      <c r="M5" s="10">
        <v>46419</v>
      </c>
      <c r="N5" s="10">
        <v>46447</v>
      </c>
      <c r="O5" s="10"/>
      <c r="P5" s="10"/>
      <c r="Q5" s="10"/>
      <c r="R5" s="10"/>
      <c r="S5" s="10"/>
    </row>
    <row r="6" spans="2:19" x14ac:dyDescent="0.35">
      <c r="B6" s="8" t="s">
        <v>9</v>
      </c>
      <c r="C6" s="8">
        <v>304</v>
      </c>
      <c r="D6" s="8">
        <v>297</v>
      </c>
      <c r="E6" s="8">
        <v>247</v>
      </c>
      <c r="F6" s="8">
        <v>309</v>
      </c>
      <c r="G6" s="8">
        <v>280</v>
      </c>
      <c r="H6" s="8">
        <v>319</v>
      </c>
      <c r="I6" s="8">
        <v>271</v>
      </c>
      <c r="J6" s="8">
        <v>275</v>
      </c>
      <c r="K6" s="8">
        <v>271</v>
      </c>
      <c r="L6" s="8">
        <v>291</v>
      </c>
      <c r="M6" s="8">
        <v>308</v>
      </c>
      <c r="N6" s="8">
        <v>322</v>
      </c>
    </row>
    <row r="7" spans="2:19" x14ac:dyDescent="0.35">
      <c r="B7" s="8" t="s">
        <v>14</v>
      </c>
      <c r="C7" s="8">
        <v>45</v>
      </c>
      <c r="D7" s="8">
        <v>42</v>
      </c>
      <c r="E7" s="8">
        <v>54</v>
      </c>
      <c r="F7" s="8">
        <v>82</v>
      </c>
      <c r="G7" s="8">
        <v>52</v>
      </c>
      <c r="H7" s="8">
        <v>37</v>
      </c>
      <c r="I7" s="8">
        <v>61</v>
      </c>
      <c r="J7" s="8">
        <v>22</v>
      </c>
      <c r="K7" s="8">
        <v>84</v>
      </c>
      <c r="L7" s="8">
        <v>69</v>
      </c>
      <c r="M7" s="8">
        <v>104</v>
      </c>
      <c r="N7" s="8">
        <v>71</v>
      </c>
    </row>
    <row r="8" spans="2:19" x14ac:dyDescent="0.35">
      <c r="B8" s="8" t="s">
        <v>13</v>
      </c>
      <c r="C8" s="8">
        <v>127</v>
      </c>
      <c r="D8" s="8">
        <v>127</v>
      </c>
      <c r="E8" s="8">
        <v>149</v>
      </c>
      <c r="F8" s="8">
        <v>134</v>
      </c>
      <c r="G8" s="8">
        <v>123</v>
      </c>
      <c r="H8" s="8">
        <v>113</v>
      </c>
      <c r="I8" s="8">
        <v>134</v>
      </c>
      <c r="J8" s="8">
        <v>151</v>
      </c>
      <c r="K8" s="8">
        <v>103</v>
      </c>
      <c r="L8" s="8">
        <v>106</v>
      </c>
      <c r="M8" s="8">
        <v>142</v>
      </c>
      <c r="N8" s="8">
        <v>171</v>
      </c>
    </row>
    <row r="9" spans="2:19" x14ac:dyDescent="0.35">
      <c r="B9" s="8" t="s">
        <v>11</v>
      </c>
      <c r="G9" s="8">
        <v>46</v>
      </c>
      <c r="H9" s="8">
        <v>63</v>
      </c>
      <c r="I9" s="8">
        <v>104</v>
      </c>
      <c r="J9" s="8">
        <v>101</v>
      </c>
      <c r="K9" s="8">
        <v>84</v>
      </c>
      <c r="L9" s="8">
        <v>50</v>
      </c>
      <c r="M9" s="8">
        <v>117</v>
      </c>
      <c r="N9" s="8">
        <v>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ome">
                <anchor moveWithCells="1" sizeWithCells="1">
                  <from>
                    <xdr:col>0</xdr:col>
                    <xdr:colOff>603250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B2695-D662-4B7A-99F5-3E5197DFCD33}">
  <sheetPr codeName="Sheet6"/>
  <dimension ref="B5:O9"/>
  <sheetViews>
    <sheetView workbookViewId="0">
      <selection activeCell="G15" sqref="G15"/>
    </sheetView>
  </sheetViews>
  <sheetFormatPr defaultRowHeight="14.5" x14ac:dyDescent="0.35"/>
  <cols>
    <col min="1" max="1" width="8.7265625" style="8"/>
    <col min="2" max="2" width="18.90625" style="8" customWidth="1"/>
    <col min="3" max="16384" width="8.7265625" style="8"/>
  </cols>
  <sheetData>
    <row r="5" spans="2:15" x14ac:dyDescent="0.35">
      <c r="B5" s="8" t="s">
        <v>12</v>
      </c>
      <c r="C5" s="10">
        <v>46082</v>
      </c>
      <c r="D5" s="10">
        <v>46113</v>
      </c>
      <c r="E5" s="10">
        <v>46143</v>
      </c>
      <c r="F5" s="10">
        <v>46174</v>
      </c>
      <c r="G5" s="10">
        <v>46204</v>
      </c>
      <c r="H5" s="10">
        <v>46235</v>
      </c>
      <c r="I5" s="10">
        <v>46266</v>
      </c>
      <c r="J5" s="10">
        <v>46296</v>
      </c>
      <c r="K5" s="10">
        <v>46327</v>
      </c>
      <c r="L5" s="10">
        <v>46357</v>
      </c>
      <c r="M5" s="10">
        <v>46388</v>
      </c>
      <c r="N5" s="10">
        <v>46419</v>
      </c>
      <c r="O5" s="10">
        <v>46447</v>
      </c>
    </row>
    <row r="6" spans="2:15" x14ac:dyDescent="0.35">
      <c r="B6" s="8" t="s">
        <v>9</v>
      </c>
      <c r="C6" s="8">
        <v>45</v>
      </c>
      <c r="D6" s="8">
        <v>23</v>
      </c>
      <c r="E6" s="8">
        <v>2</v>
      </c>
      <c r="F6" s="8">
        <v>0</v>
      </c>
      <c r="G6" s="8">
        <v>50</v>
      </c>
      <c r="H6" s="8">
        <v>0</v>
      </c>
      <c r="I6" s="8">
        <v>32</v>
      </c>
      <c r="J6" s="8">
        <v>27</v>
      </c>
      <c r="K6" s="8">
        <v>17</v>
      </c>
      <c r="L6" s="8">
        <v>29</v>
      </c>
      <c r="M6" s="8">
        <v>41</v>
      </c>
      <c r="N6" s="8">
        <v>87</v>
      </c>
      <c r="O6" s="8">
        <v>3</v>
      </c>
    </row>
    <row r="7" spans="2:15" x14ac:dyDescent="0.35">
      <c r="B7" s="8" t="s">
        <v>14</v>
      </c>
      <c r="C7" s="8">
        <v>12</v>
      </c>
      <c r="D7" s="8">
        <v>0</v>
      </c>
      <c r="E7" s="8">
        <v>1</v>
      </c>
      <c r="F7" s="8">
        <v>4</v>
      </c>
      <c r="G7" s="8">
        <v>3</v>
      </c>
      <c r="H7" s="8">
        <v>0</v>
      </c>
      <c r="I7" s="8">
        <v>4</v>
      </c>
      <c r="J7" s="8">
        <v>5</v>
      </c>
      <c r="K7" s="8">
        <v>3</v>
      </c>
      <c r="L7" s="8">
        <v>3</v>
      </c>
      <c r="M7" s="8">
        <v>2</v>
      </c>
      <c r="N7" s="8">
        <v>11</v>
      </c>
      <c r="O7" s="8">
        <v>3</v>
      </c>
    </row>
    <row r="8" spans="2:15" x14ac:dyDescent="0.35">
      <c r="B8" s="8" t="s">
        <v>13</v>
      </c>
      <c r="C8" s="8">
        <v>4</v>
      </c>
      <c r="D8" s="8">
        <v>16</v>
      </c>
      <c r="E8" s="8">
        <v>17</v>
      </c>
      <c r="F8" s="8">
        <v>1</v>
      </c>
      <c r="G8" s="8">
        <v>30</v>
      </c>
      <c r="H8" s="8">
        <v>0</v>
      </c>
      <c r="I8" s="8">
        <v>10</v>
      </c>
      <c r="J8" s="8">
        <v>24</v>
      </c>
      <c r="K8" s="8">
        <v>49</v>
      </c>
      <c r="L8" s="8">
        <v>14</v>
      </c>
      <c r="M8" s="8">
        <v>24</v>
      </c>
      <c r="N8" s="8">
        <v>5</v>
      </c>
      <c r="O8" s="8">
        <v>1</v>
      </c>
    </row>
    <row r="9" spans="2:15" x14ac:dyDescent="0.35">
      <c r="B9" s="8" t="s">
        <v>11</v>
      </c>
      <c r="H9" s="8">
        <v>0</v>
      </c>
      <c r="I9" s="8">
        <v>5</v>
      </c>
      <c r="J9" s="8">
        <v>41</v>
      </c>
      <c r="K9" s="8">
        <v>30</v>
      </c>
      <c r="L9" s="8">
        <v>17</v>
      </c>
      <c r="M9" s="8">
        <v>8</v>
      </c>
      <c r="N9" s="8">
        <v>1</v>
      </c>
      <c r="O9" s="8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home">
                <anchor moveWithCells="1" sizeWithCells="1">
                  <from>
                    <xdr:col>0</xdr:col>
                    <xdr:colOff>590550</xdr:colOff>
                    <xdr:row>1</xdr:row>
                    <xdr:rowOff>0</xdr:rowOff>
                  </from>
                  <to>
                    <xdr:col>2</xdr:col>
                    <xdr:colOff>165100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B9F37-61A4-459D-9A3A-32139BDE33A4}">
  <sheetPr codeName="Sheet3"/>
  <dimension ref="B2:H20"/>
  <sheetViews>
    <sheetView workbookViewId="0">
      <selection activeCell="D17" sqref="D17"/>
    </sheetView>
  </sheetViews>
  <sheetFormatPr defaultRowHeight="14.5" x14ac:dyDescent="0.35"/>
  <cols>
    <col min="1" max="1" width="8.7265625" style="1"/>
    <col min="2" max="2" width="14.54296875" style="1" bestFit="1" customWidth="1"/>
    <col min="3" max="16384" width="8.7265625" style="1"/>
  </cols>
  <sheetData>
    <row r="2" spans="2:8" x14ac:dyDescent="0.35">
      <c r="B2" s="19" t="s">
        <v>1</v>
      </c>
      <c r="C2" s="19"/>
      <c r="D2" s="2"/>
      <c r="E2" s="2"/>
      <c r="F2" s="2"/>
      <c r="G2" s="2"/>
      <c r="H2" s="2"/>
    </row>
    <row r="3" spans="2:8" x14ac:dyDescent="0.35">
      <c r="B3" s="4" t="s">
        <v>2</v>
      </c>
      <c r="C3" s="5">
        <v>46478</v>
      </c>
    </row>
    <row r="4" spans="2:8" x14ac:dyDescent="0.35">
      <c r="B4" s="4" t="s">
        <v>9</v>
      </c>
      <c r="C4" s="4">
        <v>216</v>
      </c>
    </row>
    <row r="5" spans="2:8" x14ac:dyDescent="0.35">
      <c r="B5" s="4" t="s">
        <v>14</v>
      </c>
      <c r="C5" s="4">
        <v>72</v>
      </c>
    </row>
    <row r="6" spans="2:8" x14ac:dyDescent="0.35">
      <c r="B6" s="4" t="s">
        <v>13</v>
      </c>
      <c r="C6" s="4">
        <v>104</v>
      </c>
    </row>
    <row r="7" spans="2:8" x14ac:dyDescent="0.35">
      <c r="B7" s="4" t="s">
        <v>11</v>
      </c>
      <c r="C7" s="4">
        <v>66</v>
      </c>
    </row>
    <row r="8" spans="2:8" x14ac:dyDescent="0.35">
      <c r="B8" s="4"/>
      <c r="C8" s="4"/>
    </row>
    <row r="9" spans="2:8" x14ac:dyDescent="0.35">
      <c r="B9" s="4"/>
      <c r="C9" s="4"/>
    </row>
    <row r="10" spans="2:8" x14ac:dyDescent="0.35">
      <c r="B10" s="4"/>
      <c r="C10" s="4"/>
    </row>
    <row r="11" spans="2:8" x14ac:dyDescent="0.35">
      <c r="B11" s="4"/>
      <c r="C11" s="4"/>
    </row>
    <row r="12" spans="2:8" x14ac:dyDescent="0.35">
      <c r="B12" s="4"/>
      <c r="C12" s="4"/>
    </row>
    <row r="13" spans="2:8" x14ac:dyDescent="0.35">
      <c r="B13" s="4"/>
      <c r="C13" s="4"/>
    </row>
    <row r="14" spans="2:8" x14ac:dyDescent="0.35">
      <c r="B14" s="4"/>
      <c r="C14" s="4"/>
    </row>
    <row r="15" spans="2:8" x14ac:dyDescent="0.35">
      <c r="B15" s="4"/>
      <c r="C15" s="4"/>
    </row>
    <row r="16" spans="2:8" x14ac:dyDescent="0.35">
      <c r="B16" s="4"/>
      <c r="C16" s="4"/>
    </row>
    <row r="17" spans="2:3" x14ac:dyDescent="0.35">
      <c r="B17" s="4"/>
      <c r="C17" s="4"/>
    </row>
    <row r="18" spans="2:3" x14ac:dyDescent="0.35">
      <c r="B18" s="4"/>
      <c r="C18" s="4"/>
    </row>
    <row r="19" spans="2:3" x14ac:dyDescent="0.35">
      <c r="B19" s="4"/>
      <c r="C19" s="4"/>
    </row>
    <row r="20" spans="2:3" x14ac:dyDescent="0.35">
      <c r="B20" s="4"/>
      <c r="C20" s="4"/>
    </row>
  </sheetData>
  <mergeCells count="1">
    <mergeCell ref="B2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home">
                <anchor moveWithCells="1" sizeWithCells="1">
                  <from>
                    <xdr:col>3</xdr:col>
                    <xdr:colOff>431800</xdr:colOff>
                    <xdr:row>1</xdr:row>
                    <xdr:rowOff>146050</xdr:rowOff>
                  </from>
                  <to>
                    <xdr:col>6</xdr:col>
                    <xdr:colOff>209550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D192-27D7-4CEE-B5CB-844944913CF9}">
  <sheetPr codeName="Sheet7"/>
  <dimension ref="B3:P9"/>
  <sheetViews>
    <sheetView workbookViewId="0">
      <selection activeCell="E15" sqref="E15"/>
    </sheetView>
  </sheetViews>
  <sheetFormatPr defaultRowHeight="14.5" x14ac:dyDescent="0.35"/>
  <cols>
    <col min="1" max="1" width="8.7265625" style="8"/>
    <col min="2" max="2" width="13.90625" style="8" bestFit="1" customWidth="1"/>
    <col min="3" max="16384" width="8.7265625" style="8"/>
  </cols>
  <sheetData>
    <row r="3" spans="2:16" ht="15" thickBot="1" x14ac:dyDescent="0.4"/>
    <row r="4" spans="2:16" ht="15" thickBot="1" x14ac:dyDescent="0.4">
      <c r="C4" s="20" t="s">
        <v>3</v>
      </c>
      <c r="D4" s="21"/>
      <c r="E4" s="21"/>
      <c r="F4" s="21"/>
      <c r="G4" s="22"/>
    </row>
    <row r="5" spans="2:16" x14ac:dyDescent="0.35">
      <c r="B5" s="8" t="s">
        <v>0</v>
      </c>
      <c r="C5" s="10">
        <v>46113</v>
      </c>
      <c r="D5" s="10">
        <v>46143</v>
      </c>
      <c r="E5" s="10">
        <v>46174</v>
      </c>
      <c r="F5" s="10">
        <v>46204</v>
      </c>
      <c r="G5" s="10">
        <v>46235</v>
      </c>
      <c r="H5" s="10">
        <v>46266</v>
      </c>
      <c r="I5" s="10">
        <v>46296</v>
      </c>
      <c r="J5" s="10">
        <v>46327</v>
      </c>
      <c r="K5" s="10">
        <v>46357</v>
      </c>
      <c r="L5" s="10">
        <v>46388</v>
      </c>
      <c r="M5" s="10">
        <v>46419</v>
      </c>
      <c r="N5" s="10">
        <v>46447</v>
      </c>
      <c r="O5" s="10">
        <v>46478</v>
      </c>
      <c r="P5" s="10"/>
    </row>
    <row r="6" spans="2:16" x14ac:dyDescent="0.35">
      <c r="B6" s="8" t="s">
        <v>9</v>
      </c>
      <c r="D6" s="8">
        <f>IFERROR(_xlfn.CEILING.MATH(_xlfn.FORECAST.ETS('Expected Demand History'!D5,'Amount Given Away'!C6:'Amount Given Away'!C6,'Amount Given Away'!C5:'Amount Given Away'!C5)),0)</f>
        <v>0</v>
      </c>
      <c r="E6" s="8">
        <f>IFERROR(_xlfn.CEILING.MATH(_xlfn.FORECAST.ETS('Expected Demand History'!E5,'Amount Given Away'!C6:'Amount Given Away'!D6,'Amount Given Away'!C5:'Amount Given Away'!D5)),0)</f>
        <v>290</v>
      </c>
      <c r="F6" s="8">
        <f>IFERROR(_xlfn.CEILING.MATH(_xlfn.FORECAST.ETS('Expected Demand History'!F5,'Amount Given Away'!C6:'Amount Given Away'!E6,'Amount Given Away'!C5:'Amount Given Away'!E5)),0)</f>
        <v>225</v>
      </c>
      <c r="G6" s="8">
        <f>IFERROR(_xlfn.CEILING.MATH(_xlfn.FORECAST.ETS('Expected Demand History'!G5,'Amount Given Away'!C6:'Amount Given Away'!F6,'Amount Given Away'!C5:'Amount Given Away'!F5)),0)</f>
        <v>293</v>
      </c>
      <c r="H6" s="8">
        <f>IFERROR(_xlfn.CEILING.MATH(_xlfn.FORECAST.ETS('Expected Demand History'!H5,'Amount Given Away'!C6:'Amount Given Away'!G6,'Amount Given Away'!C5:'Amount Given Away'!G5)),0)</f>
        <v>305</v>
      </c>
      <c r="I6" s="8">
        <f>IFERROR(_xlfn.CEILING.MATH(_xlfn.FORECAST.ETS('Expected Demand History'!I5,'Amount Given Away'!C6:'Amount Given Away'!H6,'Amount Given Away'!C5:'Amount Given Away'!H5)),0)</f>
        <v>292</v>
      </c>
      <c r="J6" s="8">
        <f>IFERROR(_xlfn.CEILING.MATH(_xlfn.FORECAST.ETS('Expected Demand History'!J5,'Amount Given Away'!C6:'Amount Given Away'!I6,'Amount Given Away'!C5:'Amount Given Away'!I5)),0)</f>
        <v>302</v>
      </c>
      <c r="K6" s="8">
        <f>IFERROR(_xlfn.CEILING.MATH(_xlfn.FORECAST.ETS('Expected Demand History'!K5,'Amount Given Away'!C6:'Amount Given Away'!J6,'Amount Given Away'!C5:'Amount Given Away'!J5)),0)</f>
        <v>262</v>
      </c>
      <c r="L6" s="8">
        <f>IFERROR(_xlfn.CEILING.MATH(_xlfn.FORECAST.ETS('Expected Demand History'!L5,'Amount Given Away'!C6:'Amount Given Away'!K6,'Amount Given Away'!C5:'Amount Given Away'!K5)),0)</f>
        <v>290</v>
      </c>
      <c r="M6" s="8">
        <f>IFERROR(_xlfn.CEILING.MATH(_xlfn.FORECAST.ETS('Expected Demand History'!M5,'Amount Given Away'!C6:'Amount Given Away'!L6,'Amount Given Away'!C5:'Amount Given Away'!L5)),0)</f>
        <v>258</v>
      </c>
      <c r="N6" s="8">
        <f>IFERROR(_xlfn.CEILING.MATH(_xlfn.FORECAST.ETS('Expected Demand History'!N5,'Amount Given Away'!C6:'Amount Given Away'!M6,'Amount Given Away'!C5:'Amount Given Away'!M5)),0)</f>
        <v>292</v>
      </c>
      <c r="O6" s="8">
        <f>IFERROR(_xlfn.CEILING.MATH(_xlfn.FORECAST.ETS('Expected Demand History'!O5,'Amount Given Away'!C6:'Amount Given Away'!N6,'Amount Given Away'!C5:'Amount Given Away'!N5)),0)</f>
        <v>303</v>
      </c>
    </row>
    <row r="7" spans="2:16" x14ac:dyDescent="0.35">
      <c r="B7" s="8" t="s">
        <v>14</v>
      </c>
      <c r="D7" s="8">
        <f>IFERROR(_xlfn.CEILING.MATH(_xlfn.FORECAST.ETS('Expected Demand History'!D5,'Amount Given Away'!C7:'Amount Given Away'!C7,'Amount Given Away'!C5:'Amount Given Away'!C5)),0)</f>
        <v>0</v>
      </c>
      <c r="E7" s="8">
        <f>IFERROR(_xlfn.CEILING.MATH(_xlfn.FORECAST.ETS('Expected Demand History'!E5,'Amount Given Away'!C7:'Amount Given Away'!D7,'Amount Given Away'!C5:'Amount Given Away'!D5)),0)</f>
        <v>39</v>
      </c>
      <c r="F7" s="8">
        <f>IFERROR(_xlfn.CEILING.MATH(_xlfn.FORECAST.ETS('Expected Demand History'!F5,'Amount Given Away'!C7:'Amount Given Away'!E7,'Amount Given Away'!C5:'Amount Given Away'!E5)),0)</f>
        <v>57</v>
      </c>
      <c r="G7" s="8">
        <f>IFERROR(_xlfn.CEILING.MATH(_xlfn.FORECAST.ETS('Expected Demand History'!G5,'Amount Given Away'!C7:'Amount Given Away'!F7,'Amount Given Away'!C5:'Amount Given Away'!F5)),0)</f>
        <v>91</v>
      </c>
      <c r="H7" s="8">
        <f>IFERROR(_xlfn.CEILING.MATH(_xlfn.FORECAST.ETS('Expected Demand History'!H5,'Amount Given Away'!C7:'Amount Given Away'!G7,'Amount Given Away'!C5:'Amount Given Away'!G5)),0)</f>
        <v>88</v>
      </c>
      <c r="I7" s="8">
        <f>IFERROR(_xlfn.CEILING.MATH(_xlfn.FORECAST.ETS('Expected Demand History'!I5,'Amount Given Away'!C7:'Amount Given Away'!H7,'Amount Given Away'!C5:'Amount Given Away'!H5)),0)</f>
        <v>48</v>
      </c>
      <c r="J7" s="8">
        <f>IFERROR(_xlfn.CEILING.MATH(_xlfn.FORECAST.ETS('Expected Demand History'!J5,'Amount Given Away'!C7:'Amount Given Away'!I7,'Amount Given Away'!C5:'Amount Given Away'!I5)),0)</f>
        <v>55</v>
      </c>
      <c r="K7" s="8">
        <f>IFERROR(_xlfn.CEILING.MATH(_xlfn.FORECAST.ETS('Expected Demand History'!K5,'Amount Given Away'!C7:'Amount Given Away'!J7,'Amount Given Away'!C5:'Amount Given Away'!J5)),0)</f>
        <v>38</v>
      </c>
      <c r="L7" s="8">
        <f>IFERROR(_xlfn.CEILING.MATH(_xlfn.FORECAST.ETS('Expected Demand History'!L5,'Amount Given Away'!C7:'Amount Given Away'!K7,'Amount Given Away'!C5:'Amount Given Away'!K5)),0)</f>
        <v>55</v>
      </c>
      <c r="M7" s="8">
        <f>IFERROR(_xlfn.CEILING.MATH(_xlfn.FORECAST.ETS('Expected Demand History'!M5,'Amount Given Away'!C7:'Amount Given Away'!L7,'Amount Given Away'!C5:'Amount Given Away'!L5)),0)</f>
        <v>62</v>
      </c>
      <c r="N7" s="8">
        <f>IFERROR(_xlfn.CEILING.MATH(_xlfn.FORECAST.ETS('Expected Demand History'!N5,'Amount Given Away'!C7:'Amount Given Away'!M7,'Amount Given Away'!C5:'Amount Given Away'!M5)),0)</f>
        <v>83</v>
      </c>
      <c r="O7" s="8">
        <f>IFERROR(_xlfn.CEILING.MATH(_xlfn.FORECAST.ETS('Expected Demand History'!O5,'Amount Given Away'!C7:'Amount Given Away'!N7,'Amount Given Away'!C5:'Amount Given Away'!N5)),0)</f>
        <v>83</v>
      </c>
    </row>
    <row r="8" spans="2:16" x14ac:dyDescent="0.35">
      <c r="B8" s="8" t="s">
        <v>13</v>
      </c>
      <c r="D8" s="8">
        <f>IFERROR(_xlfn.CEILING.MATH(_xlfn.FORECAST.ETS('Expected Demand History'!D5,'Amount Given Away'!C8:'Amount Given Away'!C8,'Amount Given Away'!C5:'Amount Given Away'!C5)),0)</f>
        <v>0</v>
      </c>
      <c r="E8" s="8">
        <f>IFERROR(_xlfn.CEILING.MATH(_xlfn.FORECAST.ETS('Expected Demand History'!E5,'Amount Given Away'!C8:'Amount Given Away'!D8,'Amount Given Away'!C5:'Amount Given Away'!D5)),0)</f>
        <v>127</v>
      </c>
      <c r="F8" s="8">
        <f>IFERROR(_xlfn.CEILING.MATH(_xlfn.FORECAST.ETS('Expected Demand History'!F5,'Amount Given Away'!C8:'Amount Given Away'!E8,'Amount Given Away'!C5:'Amount Given Away'!E5)),0)</f>
        <v>158</v>
      </c>
      <c r="G8" s="8">
        <f>IFERROR(_xlfn.CEILING.MATH(_xlfn.FORECAST.ETS('Expected Demand History'!G5,'Amount Given Away'!C8:'Amount Given Away'!F8,'Amount Given Away'!C5:'Amount Given Away'!F5)),0)</f>
        <v>143</v>
      </c>
      <c r="H8" s="8">
        <f>IFERROR(_xlfn.CEILING.MATH(_xlfn.FORECAST.ETS('Expected Demand History'!H5,'Amount Given Away'!C8:'Amount Given Away'!G8,'Amount Given Away'!C5:'Amount Given Away'!G5)),0)</f>
        <v>128</v>
      </c>
      <c r="I8" s="8">
        <f>IFERROR(_xlfn.CEILING.MATH(_xlfn.FORECAST.ETS('Expected Demand History'!I5,'Amount Given Away'!C8:'Amount Given Away'!H8,'Amount Given Away'!C5:'Amount Given Away'!H5)),0)</f>
        <v>111</v>
      </c>
      <c r="J8" s="8">
        <f>IFERROR(_xlfn.CEILING.MATH(_xlfn.FORECAST.ETS('Expected Demand History'!J5,'Amount Given Away'!C8:'Amount Given Away'!I8,'Amount Given Away'!C5:'Amount Given Away'!I5)),0)</f>
        <v>123</v>
      </c>
      <c r="K8" s="8">
        <f>IFERROR(_xlfn.CEILING.MATH(_xlfn.FORECAST.ETS('Expected Demand History'!K5,'Amount Given Away'!C8:'Amount Given Away'!J8,'Amount Given Away'!C5:'Amount Given Away'!J5)),0)</f>
        <v>136</v>
      </c>
      <c r="L8" s="8">
        <f>IFERROR(_xlfn.CEILING.MATH(_xlfn.FORECAST.ETS('Expected Demand History'!L5,'Amount Given Away'!C8:'Amount Given Away'!K8,'Amount Given Away'!C5:'Amount Given Away'!K5)),0)</f>
        <v>121</v>
      </c>
      <c r="M8" s="8">
        <f>IFERROR(_xlfn.CEILING.MATH(_xlfn.FORECAST.ETS('Expected Demand History'!M5,'Amount Given Away'!C8:'Amount Given Away'!L8,'Amount Given Away'!C5:'Amount Given Away'!L5)),0)</f>
        <v>113</v>
      </c>
      <c r="N8" s="8">
        <f>IFERROR(_xlfn.CEILING.MATH(_xlfn.FORECAST.ETS('Expected Demand History'!N5,'Amount Given Away'!C8:'Amount Given Away'!M8,'Amount Given Away'!C5:'Amount Given Away'!M5)),0)</f>
        <v>132</v>
      </c>
      <c r="O8" s="8">
        <f>IFERROR(_xlfn.CEILING.MATH(_xlfn.FORECAST.ETS('Expected Demand History'!O5,'Amount Given Away'!C8:'Amount Given Away'!N8,'Amount Given Away'!C5:'Amount Given Away'!N5)),0)</f>
        <v>109</v>
      </c>
    </row>
    <row r="9" spans="2:16" x14ac:dyDescent="0.35">
      <c r="B9" s="8" t="s">
        <v>11</v>
      </c>
      <c r="H9" s="8">
        <f>IFERROR(_xlfn.CEILING.MATH(_xlfn.FORECAST.ETS('Expected Demand History'!H5,'Amount Given Away'!C9:'Amount Given Away'!G9,'Amount Given Away'!C5:'Amount Given Away'!G5)),0)</f>
        <v>0</v>
      </c>
      <c r="I9" s="8">
        <f>IFERROR(_xlfn.CEILING.MATH(_xlfn.FORECAST.ETS('Expected Demand History'!I5,'Amount Given Away'!C9:'Amount Given Away'!H9,'Amount Given Away'!C5:'Amount Given Away'!H5)),0)</f>
        <v>80</v>
      </c>
      <c r="J9" s="8">
        <f>IFERROR(_xlfn.CEILING.MATH(_xlfn.FORECAST.ETS('Expected Demand History'!J5,'Amount Given Away'!C9:'Amount Given Away'!I9,'Amount Given Away'!C5:'Amount Given Away'!I5)),0)</f>
        <v>130</v>
      </c>
      <c r="K9" s="8">
        <f>IFERROR(_xlfn.CEILING.MATH(_xlfn.FORECAST.ETS('Expected Demand History'!K5,'Amount Given Away'!C9:'Amount Given Away'!J9,'Amount Given Away'!C5:'Amount Given Away'!J5)),0)</f>
        <v>127</v>
      </c>
      <c r="L9" s="8">
        <f>IFERROR(_xlfn.CEILING.MATH(_xlfn.FORECAST.ETS('Expected Demand History'!L5,'Amount Given Away'!C9:'Amount Given Away'!K9,'Amount Given Away'!C5:'Amount Given Away'!K5)),0)</f>
        <v>106</v>
      </c>
      <c r="M9" s="8">
        <f>IFERROR(_xlfn.CEILING.MATH(_xlfn.FORECAST.ETS('Expected Demand History'!M5,'Amount Given Away'!C9:'Amount Given Away'!L9,'Amount Given Away'!C5:'Amount Given Away'!L5)),0)</f>
        <v>54</v>
      </c>
      <c r="N9" s="8">
        <f>IFERROR(_xlfn.CEILING.MATH(_xlfn.FORECAST.ETS('Expected Demand History'!N5,'Amount Given Away'!C9:'Amount Given Away'!M9,'Amount Given Away'!C5:'Amount Given Away'!M5)),0)</f>
        <v>99</v>
      </c>
      <c r="O9" s="8">
        <f>IFERROR(_xlfn.CEILING.MATH(_xlfn.FORECAST.ETS('Expected Demand History'!O5,'Amount Given Away'!C9:'Amount Given Away'!N9,'Amount Given Away'!C5:'Amount Given Away'!N5)),0)</f>
        <v>67</v>
      </c>
    </row>
  </sheetData>
  <mergeCells count="1">
    <mergeCell ref="C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home">
                <anchor moveWithCells="1" sizeWithCells="1">
                  <from>
                    <xdr:col>0</xdr:col>
                    <xdr:colOff>584200</xdr:colOff>
                    <xdr:row>1</xdr:row>
                    <xdr:rowOff>19050</xdr:rowOff>
                  </from>
                  <to>
                    <xdr:col>2</xdr:col>
                    <xdr:colOff>596900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3AABA-9449-4604-BC77-045ACA556C8F}">
  <sheetPr codeName="Sheet9"/>
  <dimension ref="B2:B5"/>
  <sheetViews>
    <sheetView workbookViewId="0">
      <selection activeCell="D12" sqref="D12"/>
    </sheetView>
  </sheetViews>
  <sheetFormatPr defaultRowHeight="14.5" x14ac:dyDescent="0.35"/>
  <cols>
    <col min="1" max="1" width="8.7265625" style="12"/>
    <col min="2" max="2" width="21.81640625" style="12" bestFit="1" customWidth="1"/>
    <col min="3" max="16384" width="8.7265625" style="12"/>
  </cols>
  <sheetData>
    <row r="2" spans="2:2" x14ac:dyDescent="0.35">
      <c r="B2" s="11" t="s">
        <v>5</v>
      </c>
    </row>
    <row r="3" spans="2:2" x14ac:dyDescent="0.35">
      <c r="B3" s="13" t="s">
        <v>7</v>
      </c>
    </row>
    <row r="4" spans="2:2" x14ac:dyDescent="0.35">
      <c r="B4" s="13" t="s">
        <v>6</v>
      </c>
    </row>
    <row r="5" spans="2:2" x14ac:dyDescent="0.35">
      <c r="B5" s="14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Home</vt:lpstr>
      <vt:lpstr>Amount Given Away</vt:lpstr>
      <vt:lpstr>Amount at End of Month</vt:lpstr>
      <vt:lpstr>Recomendation</vt:lpstr>
      <vt:lpstr>Expected Demand History</vt:lpstr>
      <vt:lpstr>References</vt:lpstr>
      <vt:lpstr>data0</vt:lpstr>
      <vt:lpstr>EOM</vt:lpstr>
      <vt:lpstr>month1</vt:lpstr>
      <vt:lpstr>pred0</vt:lpstr>
      <vt:lpstr>rec0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Brandon</dc:creator>
  <cp:lastModifiedBy>Timothy Brandon</cp:lastModifiedBy>
  <dcterms:created xsi:type="dcterms:W3CDTF">2026-04-01T18:09:08Z</dcterms:created>
  <dcterms:modified xsi:type="dcterms:W3CDTF">2026-04-14T21:50:58Z</dcterms:modified>
</cp:coreProperties>
</file>